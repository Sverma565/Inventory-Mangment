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ELL\Desktop\"/>
    </mc:Choice>
  </mc:AlternateContent>
  <xr:revisionPtr revIDLastSave="0" documentId="13_ncr:1_{A97AAA40-E0F0-4F77-BE63-39D0D86E38B5}" xr6:coauthVersionLast="47" xr6:coauthVersionMax="47" xr10:uidLastSave="{00000000-0000-0000-0000-000000000000}"/>
  <bookViews>
    <workbookView xWindow="-120" yWindow="-120" windowWidth="20730" windowHeight="11160" activeTab="2" xr2:uid="{935DD2D6-0455-4D47-BA06-27DB2BA37AE0}"/>
  </bookViews>
  <sheets>
    <sheet name="Data" sheetId="2" r:id="rId1"/>
    <sheet name="Table" sheetId="3" r:id="rId2"/>
    <sheet name="Invoice" sheetId="816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3" i="816" l="1"/>
  <c r="C14" i="816"/>
  <c r="C15" i="816"/>
  <c r="C16" i="816"/>
  <c r="E16" i="816" s="1"/>
  <c r="C17" i="816"/>
  <c r="C18" i="816"/>
  <c r="C19" i="816"/>
  <c r="C20" i="816"/>
  <c r="E20" i="816" s="1"/>
  <c r="C21" i="816"/>
  <c r="C22" i="816"/>
  <c r="C23" i="816"/>
  <c r="C24" i="816"/>
  <c r="E24" i="816" s="1"/>
  <c r="C25" i="816"/>
  <c r="C26" i="816"/>
  <c r="C27" i="816"/>
  <c r="C28" i="816"/>
  <c r="E28" i="816" s="1"/>
  <c r="C29" i="816"/>
  <c r="C30" i="816"/>
  <c r="C12" i="816"/>
  <c r="E12" i="816" s="1"/>
  <c r="E18" i="816"/>
  <c r="E22" i="816"/>
  <c r="E26" i="816"/>
  <c r="E30" i="816"/>
  <c r="E29" i="816"/>
  <c r="E27" i="816"/>
  <c r="E25" i="816"/>
  <c r="E23" i="816"/>
  <c r="E21" i="816"/>
  <c r="E19" i="816"/>
  <c r="E17" i="816"/>
  <c r="E15" i="816"/>
  <c r="E14" i="816"/>
  <c r="E13" i="816"/>
  <c r="G10" i="816"/>
  <c r="G9" i="816"/>
  <c r="G8" i="816"/>
  <c r="G7" i="816"/>
  <c r="G6" i="816"/>
  <c r="E31" i="816" l="1"/>
  <c r="E33" i="816" l="1"/>
  <c r="G13" i="816" s="1"/>
  <c r="G11" i="816"/>
  <c r="E32" i="816"/>
  <c r="G12" i="816" s="1"/>
  <c r="E34" i="816" l="1"/>
  <c r="G14" i="816" s="1"/>
</calcChain>
</file>

<file path=xl/sharedStrings.xml><?xml version="1.0" encoding="utf-8"?>
<sst xmlns="http://schemas.openxmlformats.org/spreadsheetml/2006/main" count="111" uniqueCount="77">
  <si>
    <t>Product</t>
  </si>
  <si>
    <t>Price</t>
  </si>
  <si>
    <t>Invoice No.</t>
  </si>
  <si>
    <t>Total Amount</t>
  </si>
  <si>
    <t>SGST 10%</t>
  </si>
  <si>
    <t>CGST 10%</t>
  </si>
  <si>
    <t>Grand Total</t>
  </si>
  <si>
    <t>Laptop</t>
  </si>
  <si>
    <t>Telivision</t>
  </si>
  <si>
    <t>Monitor</t>
  </si>
  <si>
    <t>CPU</t>
  </si>
  <si>
    <t>Mouse</t>
  </si>
  <si>
    <t>Keyboard</t>
  </si>
  <si>
    <t>Table Fan</t>
  </si>
  <si>
    <t>Scanner</t>
  </si>
  <si>
    <t>Projector</t>
  </si>
  <si>
    <t>Micro Wave</t>
  </si>
  <si>
    <t>Refrigerator</t>
  </si>
  <si>
    <t>Hair Dryer</t>
  </si>
  <si>
    <t>Toaster</t>
  </si>
  <si>
    <t>Rice Coocker</t>
  </si>
  <si>
    <t>Led Bulb</t>
  </si>
  <si>
    <t>Electric Iron</t>
  </si>
  <si>
    <t>Water Purification</t>
  </si>
  <si>
    <t>Celling Fan</t>
  </si>
  <si>
    <t>Washing Machine</t>
  </si>
  <si>
    <t>Electric Heater</t>
  </si>
  <si>
    <t>E4001</t>
  </si>
  <si>
    <t>Anaya Pandey</t>
  </si>
  <si>
    <t>BHU Varanasi</t>
  </si>
  <si>
    <t>Address</t>
  </si>
  <si>
    <t>Contact</t>
  </si>
  <si>
    <t>Name</t>
  </si>
  <si>
    <t>Date</t>
  </si>
  <si>
    <t>E4008</t>
  </si>
  <si>
    <t>Pranjal Yadav</t>
  </si>
  <si>
    <t>Cantt</t>
  </si>
  <si>
    <t>Lanks</t>
  </si>
  <si>
    <t>Ajeet Patel</t>
  </si>
  <si>
    <t>E4009</t>
  </si>
  <si>
    <t>E40025</t>
  </si>
  <si>
    <t>Aa320058</t>
  </si>
  <si>
    <t>Anup Kumar</t>
  </si>
  <si>
    <t>sigra</t>
  </si>
  <si>
    <t>E40004</t>
  </si>
  <si>
    <t>20/05/2021</t>
  </si>
  <si>
    <t>Ayushi Sharma</t>
  </si>
  <si>
    <t>BHU</t>
  </si>
  <si>
    <t>E40007</t>
  </si>
  <si>
    <t>Anjali Verma</t>
  </si>
  <si>
    <t>Madagi</t>
  </si>
  <si>
    <t>E400056</t>
  </si>
  <si>
    <t>Ayush Patel</t>
  </si>
  <si>
    <t>Baliya</t>
  </si>
  <si>
    <t>E57008</t>
  </si>
  <si>
    <t>Ayushi singh</t>
  </si>
  <si>
    <t>Bihar</t>
  </si>
  <si>
    <t>E500041</t>
  </si>
  <si>
    <t>14/08/2024</t>
  </si>
  <si>
    <t>Ishan</t>
  </si>
  <si>
    <t>panjab</t>
  </si>
  <si>
    <t>PK Computer &amp; Accessories</t>
  </si>
  <si>
    <t>Main Market, Barola,Sector-49, Near Verma Jewellers</t>
  </si>
  <si>
    <t>Noida, UP 201301</t>
  </si>
  <si>
    <t>INVOICE</t>
  </si>
  <si>
    <t>Date:</t>
  </si>
  <si>
    <t>Name:</t>
  </si>
  <si>
    <t>isha</t>
  </si>
  <si>
    <t>Contact:</t>
  </si>
  <si>
    <t>Address:</t>
  </si>
  <si>
    <t>S.No.</t>
  </si>
  <si>
    <t>Quantity</t>
  </si>
  <si>
    <t>Amount</t>
  </si>
  <si>
    <t>_____________________________________</t>
  </si>
  <si>
    <t>Authorized Signatory</t>
  </si>
  <si>
    <t>E500061</t>
  </si>
  <si>
    <t>akhil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</si>
</sst>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22"/>
      <color theme="0"/>
      <name val="Calibri"/>
      <family val="2"/>
      <scheme val="minor"/>
    </font>
    <font>
      <b/>
      <i/>
      <sz val="14"/>
      <color rgb="FFFFFF0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FFFF99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56">
    <xf numFmtId="0" fontId="0" fillId="0" borderId="0" xfId="0"/>
    <xf numFmtId="0" fontId="1" fillId="0" borderId="0" xfId="0" applyFont="1" applyBorder="1" applyAlignment="1">
      <alignment horizontal="center"/>
    </xf>
    <xf numFmtId="14" fontId="1" fillId="0" borderId="0" xfId="0" applyNumberFormat="1" applyFont="1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14" fontId="1" fillId="0" borderId="0" xfId="0" applyNumberFormat="1" applyFont="1" applyAlignment="1">
      <alignment horizontal="center"/>
    </xf>
    <xf numFmtId="14" fontId="0" fillId="0" borderId="0" xfId="0" applyNumberFormat="1"/>
    <xf numFmtId="0" fontId="2" fillId="0" borderId="1" xfId="0" applyFont="1" applyBorder="1"/>
    <xf numFmtId="0" fontId="1" fillId="2" borderId="1" xfId="0" applyFont="1" applyFill="1" applyBorder="1"/>
    <xf numFmtId="0" fontId="7" fillId="0" borderId="5" xfId="0" applyFont="1" applyBorder="1"/>
    <xf numFmtId="0" fontId="7" fillId="0" borderId="0" xfId="0" applyFont="1"/>
    <xf numFmtId="0" fontId="7" fillId="0" borderId="6" xfId="0" applyFont="1" applyBorder="1"/>
    <xf numFmtId="0" fontId="1" fillId="0" borderId="5" xfId="0" applyFont="1" applyBorder="1"/>
    <xf numFmtId="0" fontId="1" fillId="0" borderId="0" xfId="0" applyFont="1" applyAlignment="1">
      <alignment horizontal="left" indent="1"/>
    </xf>
    <xf numFmtId="14" fontId="1" fillId="0" borderId="0" xfId="0" applyNumberFormat="1" applyFont="1" applyAlignment="1">
      <alignment horizontal="left" indent="1"/>
    </xf>
    <xf numFmtId="0" fontId="1" fillId="0" borderId="6" xfId="0" applyFont="1" applyBorder="1" applyAlignment="1">
      <alignment horizontal="center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0" fontId="7" fillId="0" borderId="0" xfId="0" applyFont="1" applyAlignment="1">
      <alignment horizontal="center"/>
    </xf>
    <xf numFmtId="0" fontId="7" fillId="0" borderId="6" xfId="0" applyFont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2" borderId="8" xfId="0" applyFont="1" applyFill="1" applyBorder="1"/>
    <xf numFmtId="0" fontId="7" fillId="0" borderId="9" xfId="0" applyFont="1" applyBorder="1" applyAlignment="1">
      <alignment horizontal="center"/>
    </xf>
    <xf numFmtId="0" fontId="7" fillId="0" borderId="10" xfId="0" applyFont="1" applyBorder="1" applyAlignment="1">
      <alignment horizontal="center"/>
    </xf>
    <xf numFmtId="0" fontId="7" fillId="0" borderId="11" xfId="0" applyFont="1" applyBorder="1"/>
    <xf numFmtId="0" fontId="7" fillId="0" borderId="12" xfId="0" applyFont="1" applyBorder="1" applyAlignment="1">
      <alignment horizontal="center"/>
    </xf>
    <xf numFmtId="0" fontId="7" fillId="0" borderId="13" xfId="0" applyFont="1" applyBorder="1" applyAlignment="1">
      <alignment horizontal="center"/>
    </xf>
    <xf numFmtId="0" fontId="7" fillId="0" borderId="14" xfId="0" applyFont="1" applyBorder="1"/>
    <xf numFmtId="0" fontId="1" fillId="4" borderId="8" xfId="0" applyFont="1" applyFill="1" applyBorder="1"/>
    <xf numFmtId="0" fontId="0" fillId="0" borderId="5" xfId="0" applyBorder="1"/>
    <xf numFmtId="0" fontId="0" fillId="0" borderId="6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1" fillId="4" borderId="1" xfId="0" applyFont="1" applyFill="1" applyBorder="1"/>
    <xf numFmtId="0" fontId="4" fillId="3" borderId="2" xfId="0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/>
    </xf>
    <xf numFmtId="0" fontId="4" fillId="3" borderId="4" xfId="0" applyFont="1" applyFill="1" applyBorder="1" applyAlignment="1">
      <alignment horizontal="center"/>
    </xf>
    <xf numFmtId="0" fontId="5" fillId="3" borderId="5" xfId="0" applyFont="1" applyFill="1" applyBorder="1" applyAlignment="1">
      <alignment horizontal="center"/>
    </xf>
    <xf numFmtId="0" fontId="5" fillId="3" borderId="0" xfId="0" applyFont="1" applyFill="1" applyAlignment="1">
      <alignment horizontal="center"/>
    </xf>
    <xf numFmtId="0" fontId="5" fillId="3" borderId="6" xfId="0" applyFont="1" applyFill="1" applyBorder="1" applyAlignment="1">
      <alignment horizontal="center"/>
    </xf>
    <xf numFmtId="0" fontId="6" fillId="3" borderId="5" xfId="0" applyFont="1" applyFill="1" applyBorder="1" applyAlignment="1">
      <alignment horizontal="center"/>
    </xf>
    <xf numFmtId="0" fontId="6" fillId="3" borderId="0" xfId="0" applyFont="1" applyFill="1" applyAlignment="1">
      <alignment horizontal="center"/>
    </xf>
    <xf numFmtId="0" fontId="6" fillId="3" borderId="6" xfId="0" applyFont="1" applyFill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1" fillId="0" borderId="0" xfId="0" applyFont="1" applyAlignment="1">
      <alignment horizontal="left" indent="1"/>
    </xf>
    <xf numFmtId="0" fontId="1" fillId="0" borderId="6" xfId="0" applyFont="1" applyBorder="1" applyAlignment="1">
      <alignment horizontal="left" indent="1"/>
    </xf>
    <xf numFmtId="0" fontId="0" fillId="0" borderId="0" xfId="0" applyAlignment="1">
      <alignment horizontal="center"/>
    </xf>
    <xf numFmtId="0" fontId="0" fillId="0" borderId="6" xfId="0" applyBorder="1" applyAlignment="1">
      <alignment horizontal="center"/>
    </xf>
  </cellXfs>
  <cellStyles count="1">
    <cellStyle name="Normal" xfId="0" builtinId="0"/>
  </cellStyles>
  <dxfs count="11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9" formatCode="m/d/yyyy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FFFF99"/>
      <color rgb="FFFFDF79"/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142875</xdr:colOff>
          <xdr:row>18</xdr:row>
          <xdr:rowOff>200025</xdr:rowOff>
        </xdr:from>
        <xdr:to>
          <xdr:col>7</xdr:col>
          <xdr:colOff>228600</xdr:colOff>
          <xdr:row>20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Submit Data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8AF479-8F25-47DD-9B49-E1806EBEDAA7}" name="Table2" displayName="Table2" ref="A1:I37" totalsRowShown="0" headerRowDxfId="10" dataDxfId="9">
  <autoFilter ref="A1:I37" xr:uid="{F68AF479-8F25-47DD-9B49-E1806EBEDAA7}"/>
  <tableColumns count="9">
    <tableColumn id="1" xr3:uid="{B8818380-DB28-4047-8B60-AD5EC73F2897}" name="Invoice No." dataDxfId="8"/>
    <tableColumn id="2" xr3:uid="{FC981DAC-703C-422F-A536-DB39EDF1800F}" name="Date" dataDxfId="7"/>
    <tableColumn id="3" xr3:uid="{6D0721D4-AD7C-4AA8-8CC6-7A65E79D10BF}" name="Name" dataDxfId="6"/>
    <tableColumn id="4" xr3:uid="{DEB050FE-DEA5-449E-91AD-A4E70CEF606A}" name="Contact" dataDxfId="5"/>
    <tableColumn id="5" xr3:uid="{F5AFB210-B498-463C-A9E5-FD05FF223179}" name="Address" dataDxfId="4"/>
    <tableColumn id="6" xr3:uid="{117AC51F-1938-415B-8307-12863884E1C6}" name="Total Amount" dataDxfId="3"/>
    <tableColumn id="7" xr3:uid="{6FF548DF-AA33-49B1-9E2B-82B192C832A5}" name="SGST 10%" dataDxfId="2"/>
    <tableColumn id="8" xr3:uid="{E0561D08-3224-47E8-8EBC-35AF89E3FC56}" name="CGST 10%" dataDxfId="1"/>
    <tableColumn id="9" xr3:uid="{23D2EAA4-DF98-47DA-AD6D-DFE5067D2305}" name="Grand Total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C7CD3D5-F2B1-413D-A225-84F6FE1C0B38}">
  <we:reference id="wa200005271" version="2.5.5.0" store="en-US" storeType="OMEX"/>
  <we:alternateReferences>
    <we:reference id="wa200005271" version="2.5.5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  <we:customFunctionIds>_xldudf_AI_CHOICE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92FF6F-063A-46DE-9879-D8A2AA248FF2}">
  <sheetPr codeName="Sheet2"/>
  <dimension ref="A1:I23"/>
  <sheetViews>
    <sheetView workbookViewId="0">
      <selection activeCell="J14" sqref="J14"/>
    </sheetView>
  </sheetViews>
  <sheetFormatPr defaultRowHeight="15" x14ac:dyDescent="0.25"/>
  <cols>
    <col min="1" max="1" width="17.42578125" bestFit="1" customWidth="1"/>
    <col min="3" max="3" width="12.7109375" bestFit="1" customWidth="1"/>
    <col min="4" max="4" width="11" bestFit="1" customWidth="1"/>
  </cols>
  <sheetData>
    <row r="1" spans="1:9" x14ac:dyDescent="0.25">
      <c r="A1" t="s">
        <v>34</v>
      </c>
      <c r="B1">
        <v>40848</v>
      </c>
      <c r="C1" t="s">
        <v>35</v>
      </c>
      <c r="D1">
        <v>9845237120</v>
      </c>
      <c r="E1" t="s">
        <v>36</v>
      </c>
      <c r="F1">
        <v>538400</v>
      </c>
      <c r="G1">
        <v>53840</v>
      </c>
      <c r="H1">
        <v>53840</v>
      </c>
      <c r="I1">
        <v>646080</v>
      </c>
    </row>
    <row r="3" spans="1:9" ht="18.75" x14ac:dyDescent="0.3">
      <c r="A3" s="10" t="s">
        <v>0</v>
      </c>
      <c r="B3" s="10" t="s">
        <v>1</v>
      </c>
    </row>
    <row r="4" spans="1:9" x14ac:dyDescent="0.25">
      <c r="A4" s="9" t="s">
        <v>7</v>
      </c>
      <c r="B4" s="9">
        <v>45000</v>
      </c>
    </row>
    <row r="5" spans="1:9" x14ac:dyDescent="0.25">
      <c r="A5" s="9" t="s">
        <v>8</v>
      </c>
      <c r="B5" s="9">
        <v>15000</v>
      </c>
    </row>
    <row r="6" spans="1:9" x14ac:dyDescent="0.25">
      <c r="A6" s="9" t="s">
        <v>9</v>
      </c>
      <c r="B6" s="9">
        <v>4500</v>
      </c>
    </row>
    <row r="7" spans="1:9" x14ac:dyDescent="0.25">
      <c r="A7" s="9" t="s">
        <v>10</v>
      </c>
      <c r="B7" s="9">
        <v>2500</v>
      </c>
    </row>
    <row r="8" spans="1:9" x14ac:dyDescent="0.25">
      <c r="A8" s="9" t="s">
        <v>11</v>
      </c>
      <c r="B8" s="9">
        <v>150</v>
      </c>
    </row>
    <row r="9" spans="1:9" x14ac:dyDescent="0.25">
      <c r="A9" s="9" t="s">
        <v>12</v>
      </c>
      <c r="B9" s="9">
        <v>200</v>
      </c>
    </row>
    <row r="10" spans="1:9" x14ac:dyDescent="0.25">
      <c r="A10" s="9" t="s">
        <v>13</v>
      </c>
      <c r="B10" s="9">
        <v>1000</v>
      </c>
    </row>
    <row r="11" spans="1:9" x14ac:dyDescent="0.25">
      <c r="A11" s="9" t="s">
        <v>14</v>
      </c>
      <c r="B11" s="9">
        <v>55000</v>
      </c>
    </row>
    <row r="12" spans="1:9" x14ac:dyDescent="0.25">
      <c r="A12" s="9" t="s">
        <v>15</v>
      </c>
      <c r="B12" s="9">
        <v>7000</v>
      </c>
    </row>
    <row r="13" spans="1:9" x14ac:dyDescent="0.25">
      <c r="A13" s="9" t="s">
        <v>16</v>
      </c>
      <c r="B13" s="9">
        <v>2000</v>
      </c>
    </row>
    <row r="14" spans="1:9" x14ac:dyDescent="0.25">
      <c r="A14" s="9" t="s">
        <v>17</v>
      </c>
      <c r="B14" s="9">
        <v>50000</v>
      </c>
    </row>
    <row r="15" spans="1:9" x14ac:dyDescent="0.25">
      <c r="A15" s="9" t="s">
        <v>18</v>
      </c>
      <c r="B15" s="9">
        <v>2500</v>
      </c>
    </row>
    <row r="16" spans="1:9" x14ac:dyDescent="0.25">
      <c r="A16" s="9" t="s">
        <v>19</v>
      </c>
      <c r="B16" s="9">
        <v>4500</v>
      </c>
    </row>
    <row r="17" spans="1:2" x14ac:dyDescent="0.25">
      <c r="A17" s="9" t="s">
        <v>20</v>
      </c>
      <c r="B17" s="9">
        <v>1500</v>
      </c>
    </row>
    <row r="18" spans="1:2" x14ac:dyDescent="0.25">
      <c r="A18" s="9" t="s">
        <v>21</v>
      </c>
      <c r="B18" s="9">
        <v>100</v>
      </c>
    </row>
    <row r="19" spans="1:2" x14ac:dyDescent="0.25">
      <c r="A19" s="9" t="s">
        <v>22</v>
      </c>
      <c r="B19" s="9">
        <v>1500</v>
      </c>
    </row>
    <row r="20" spans="1:2" x14ac:dyDescent="0.25">
      <c r="A20" s="9" t="s">
        <v>23</v>
      </c>
      <c r="B20" s="9">
        <v>3500</v>
      </c>
    </row>
    <row r="21" spans="1:2" x14ac:dyDescent="0.25">
      <c r="A21" s="9" t="s">
        <v>24</v>
      </c>
      <c r="B21" s="9">
        <v>700</v>
      </c>
    </row>
    <row r="22" spans="1:2" x14ac:dyDescent="0.25">
      <c r="A22" s="9" t="s">
        <v>25</v>
      </c>
      <c r="B22" s="9">
        <v>7000</v>
      </c>
    </row>
    <row r="23" spans="1:2" x14ac:dyDescent="0.25">
      <c r="A23" s="9" t="s">
        <v>26</v>
      </c>
      <c r="B23" s="9">
        <v>800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CDEC1C-706D-46F1-A58B-AB1FABE846E0}">
  <sheetPr codeName="Sheet3"/>
  <dimension ref="A1:I37"/>
  <sheetViews>
    <sheetView workbookViewId="0">
      <selection activeCell="A2" sqref="A2:I2"/>
    </sheetView>
  </sheetViews>
  <sheetFormatPr defaultRowHeight="15" x14ac:dyDescent="0.25"/>
  <cols>
    <col min="1" max="1" width="18.7109375" bestFit="1" customWidth="1"/>
    <col min="2" max="2" width="15.85546875" style="8" customWidth="1"/>
    <col min="3" max="3" width="20.5703125" customWidth="1"/>
    <col min="4" max="4" width="17" bestFit="1" customWidth="1"/>
    <col min="5" max="5" width="21" customWidth="1"/>
    <col min="6" max="6" width="21.42578125" bestFit="1" customWidth="1"/>
    <col min="7" max="7" width="16.85546875" bestFit="1" customWidth="1"/>
    <col min="8" max="8" width="17" bestFit="1" customWidth="1"/>
    <col min="9" max="9" width="19.140625" bestFit="1" customWidth="1"/>
  </cols>
  <sheetData>
    <row r="1" spans="1:9" ht="18.75" x14ac:dyDescent="0.3">
      <c r="A1" s="3" t="s">
        <v>2</v>
      </c>
      <c r="B1" s="7" t="s">
        <v>33</v>
      </c>
      <c r="C1" s="3" t="s">
        <v>32</v>
      </c>
      <c r="D1" s="3" t="s">
        <v>31</v>
      </c>
      <c r="E1" s="3" t="s">
        <v>30</v>
      </c>
      <c r="F1" s="3" t="s">
        <v>3</v>
      </c>
      <c r="G1" s="3" t="s">
        <v>4</v>
      </c>
      <c r="H1" s="3" t="s">
        <v>5</v>
      </c>
      <c r="I1" s="3" t="s">
        <v>6</v>
      </c>
    </row>
    <row r="2" spans="1:9" ht="18.75" x14ac:dyDescent="0.3">
      <c r="A2" s="3" t="s">
        <v>75</v>
      </c>
      <c r="B2" s="7" t="s">
        <v>58</v>
      </c>
      <c r="C2" s="3" t="s">
        <v>76</v>
      </c>
      <c r="D2" s="3">
        <v>986325418</v>
      </c>
      <c r="E2" s="3" t="s">
        <v>60</v>
      </c>
      <c r="F2" s="3">
        <v>209300</v>
      </c>
      <c r="G2" s="3">
        <v>20930</v>
      </c>
      <c r="H2" s="3">
        <v>20930</v>
      </c>
      <c r="I2" s="3">
        <v>251160</v>
      </c>
    </row>
    <row r="3" spans="1:9" ht="18.75" x14ac:dyDescent="0.3">
      <c r="A3" s="3" t="s">
        <v>57</v>
      </c>
      <c r="B3" s="7" t="s">
        <v>58</v>
      </c>
      <c r="C3" s="3" t="s">
        <v>67</v>
      </c>
      <c r="D3" s="3">
        <v>986325418</v>
      </c>
      <c r="E3" s="3" t="s">
        <v>60</v>
      </c>
      <c r="F3" s="3">
        <v>209300</v>
      </c>
      <c r="G3" s="3">
        <v>20930</v>
      </c>
      <c r="H3" s="3">
        <v>20930</v>
      </c>
      <c r="I3" s="3">
        <v>251160</v>
      </c>
    </row>
    <row r="4" spans="1:9" ht="18.75" x14ac:dyDescent="0.3">
      <c r="A4" s="3" t="s">
        <v>57</v>
      </c>
      <c r="B4" s="7" t="s">
        <v>58</v>
      </c>
      <c r="C4" s="3" t="s">
        <v>67</v>
      </c>
      <c r="D4" s="3">
        <v>986325418</v>
      </c>
      <c r="E4" s="3" t="s">
        <v>60</v>
      </c>
      <c r="F4" s="3">
        <v>147500</v>
      </c>
      <c r="G4" s="3">
        <v>14750</v>
      </c>
      <c r="H4" s="3">
        <v>14750</v>
      </c>
      <c r="I4" s="3">
        <v>177000</v>
      </c>
    </row>
    <row r="5" spans="1:9" ht="18.75" x14ac:dyDescent="0.3">
      <c r="A5" s="3" t="s">
        <v>57</v>
      </c>
      <c r="B5" s="7" t="s">
        <v>58</v>
      </c>
      <c r="C5" s="3" t="s">
        <v>59</v>
      </c>
      <c r="D5" s="3">
        <v>986325418</v>
      </c>
      <c r="E5" s="3" t="s">
        <v>60</v>
      </c>
      <c r="F5" s="3">
        <v>147500</v>
      </c>
      <c r="G5" s="3">
        <v>14750</v>
      </c>
      <c r="H5" s="3">
        <v>14750</v>
      </c>
      <c r="I5" s="3">
        <v>177000</v>
      </c>
    </row>
    <row r="6" spans="1:9" ht="18.75" x14ac:dyDescent="0.3">
      <c r="A6" s="3" t="s">
        <v>54</v>
      </c>
      <c r="B6" s="7">
        <v>45664</v>
      </c>
      <c r="C6" s="3" t="s">
        <v>55</v>
      </c>
      <c r="D6" s="3">
        <v>7890456321</v>
      </c>
      <c r="E6" s="3" t="s">
        <v>56</v>
      </c>
      <c r="F6" s="3">
        <v>8227100</v>
      </c>
      <c r="G6" s="3">
        <v>822710</v>
      </c>
      <c r="H6" s="3">
        <v>822710</v>
      </c>
      <c r="I6" s="3">
        <v>9872520</v>
      </c>
    </row>
    <row r="7" spans="1:9" ht="18.75" x14ac:dyDescent="0.3">
      <c r="A7" s="3" t="s">
        <v>51</v>
      </c>
      <c r="B7" s="7">
        <v>43297</v>
      </c>
      <c r="C7" s="3" t="s">
        <v>52</v>
      </c>
      <c r="D7" s="3">
        <v>9534267054</v>
      </c>
      <c r="E7" s="3" t="s">
        <v>53</v>
      </c>
      <c r="F7" s="3">
        <v>4263600</v>
      </c>
      <c r="G7" s="3">
        <v>426360</v>
      </c>
      <c r="H7" s="3">
        <v>426360</v>
      </c>
      <c r="I7" s="3">
        <v>5116320</v>
      </c>
    </row>
    <row r="8" spans="1:9" ht="18.75" x14ac:dyDescent="0.3">
      <c r="A8" s="3" t="s">
        <v>48</v>
      </c>
      <c r="B8" s="7">
        <v>43388</v>
      </c>
      <c r="C8" s="3" t="s">
        <v>49</v>
      </c>
      <c r="D8" s="3">
        <v>9867902357</v>
      </c>
      <c r="E8" s="3" t="s">
        <v>50</v>
      </c>
      <c r="F8" s="3">
        <v>3305500</v>
      </c>
      <c r="G8" s="3">
        <v>330550</v>
      </c>
      <c r="H8" s="3">
        <v>330550</v>
      </c>
      <c r="I8" s="3">
        <v>3966600</v>
      </c>
    </row>
    <row r="9" spans="1:9" ht="18.75" x14ac:dyDescent="0.3">
      <c r="A9" s="3" t="s">
        <v>44</v>
      </c>
      <c r="B9" s="7" t="s">
        <v>45</v>
      </c>
      <c r="C9" s="3" t="s">
        <v>46</v>
      </c>
      <c r="D9" s="3">
        <v>9870562314</v>
      </c>
      <c r="E9" s="3" t="s">
        <v>47</v>
      </c>
      <c r="F9" s="3">
        <v>6892000</v>
      </c>
      <c r="G9" s="3">
        <v>689200</v>
      </c>
      <c r="H9" s="3">
        <v>689200</v>
      </c>
      <c r="I9" s="3">
        <v>8270400</v>
      </c>
    </row>
    <row r="10" spans="1:9" ht="18.75" x14ac:dyDescent="0.3">
      <c r="A10" s="3" t="s">
        <v>41</v>
      </c>
      <c r="B10" s="7">
        <v>45995</v>
      </c>
      <c r="C10" s="3" t="s">
        <v>42</v>
      </c>
      <c r="D10" s="3">
        <v>5272824927</v>
      </c>
      <c r="E10" s="3" t="s">
        <v>43</v>
      </c>
      <c r="F10" s="3">
        <v>4956800</v>
      </c>
      <c r="G10" s="3">
        <v>495680</v>
      </c>
      <c r="H10" s="3">
        <v>495680</v>
      </c>
      <c r="I10" s="3">
        <v>5948160</v>
      </c>
    </row>
    <row r="11" spans="1:9" ht="18.75" x14ac:dyDescent="0.3">
      <c r="A11" s="3" t="s">
        <v>41</v>
      </c>
      <c r="B11" s="7">
        <v>44476</v>
      </c>
      <c r="C11" s="3" t="s">
        <v>42</v>
      </c>
      <c r="D11" s="3">
        <v>5272824927</v>
      </c>
      <c r="E11" s="3" t="s">
        <v>43</v>
      </c>
      <c r="F11" s="3">
        <v>4956800</v>
      </c>
      <c r="G11" s="3">
        <v>495680</v>
      </c>
      <c r="H11" s="3">
        <v>495680</v>
      </c>
      <c r="I11" s="3">
        <v>5948160</v>
      </c>
    </row>
    <row r="12" spans="1:9" ht="18.75" x14ac:dyDescent="0.3">
      <c r="A12" s="3" t="s">
        <v>40</v>
      </c>
      <c r="B12" s="7">
        <v>44476</v>
      </c>
      <c r="C12" s="3" t="s">
        <v>38</v>
      </c>
      <c r="D12" s="3">
        <v>9870654382</v>
      </c>
      <c r="E12" s="3" t="s">
        <v>37</v>
      </c>
      <c r="F12" s="3">
        <v>166500</v>
      </c>
      <c r="G12" s="3">
        <v>16650</v>
      </c>
      <c r="H12" s="3">
        <v>16650</v>
      </c>
      <c r="I12" s="3">
        <v>199800</v>
      </c>
    </row>
    <row r="13" spans="1:9" ht="18.75" x14ac:dyDescent="0.3">
      <c r="A13" s="3" t="s">
        <v>40</v>
      </c>
      <c r="B13" s="7">
        <v>44476</v>
      </c>
      <c r="C13" s="3" t="s">
        <v>38</v>
      </c>
      <c r="D13" s="3">
        <v>9870654382</v>
      </c>
      <c r="E13" s="3" t="s">
        <v>37</v>
      </c>
      <c r="F13" s="3">
        <v>166500</v>
      </c>
      <c r="G13" s="3">
        <v>16650</v>
      </c>
      <c r="H13" s="3">
        <v>16650</v>
      </c>
      <c r="I13" s="3">
        <v>199800</v>
      </c>
    </row>
    <row r="14" spans="1:9" ht="18.75" x14ac:dyDescent="0.3">
      <c r="A14" s="3" t="s">
        <v>39</v>
      </c>
      <c r="B14" s="7">
        <v>44476</v>
      </c>
      <c r="C14" s="3" t="s">
        <v>38</v>
      </c>
      <c r="D14" s="3">
        <v>9870654382</v>
      </c>
      <c r="E14" s="3" t="s">
        <v>37</v>
      </c>
      <c r="F14" s="3">
        <v>166500</v>
      </c>
      <c r="G14" s="3">
        <v>16650</v>
      </c>
      <c r="H14" s="3">
        <v>16650</v>
      </c>
      <c r="I14" s="3">
        <v>199800</v>
      </c>
    </row>
    <row r="15" spans="1:9" ht="18.75" x14ac:dyDescent="0.3">
      <c r="A15" s="1" t="s">
        <v>27</v>
      </c>
      <c r="B15" s="2">
        <v>38632</v>
      </c>
      <c r="C15" s="1" t="s">
        <v>28</v>
      </c>
      <c r="D15" s="1">
        <v>8956743215</v>
      </c>
      <c r="E15" s="1" t="s">
        <v>29</v>
      </c>
      <c r="F15" s="1">
        <v>1270000</v>
      </c>
      <c r="G15" s="1">
        <v>127000</v>
      </c>
      <c r="H15" s="1">
        <v>127000</v>
      </c>
      <c r="I15" s="4">
        <v>1524000</v>
      </c>
    </row>
    <row r="16" spans="1:9" x14ac:dyDescent="0.25">
      <c r="A16" s="5"/>
      <c r="B16" s="6"/>
      <c r="C16" s="5"/>
      <c r="D16" s="5"/>
      <c r="E16" s="5"/>
      <c r="F16" s="5"/>
      <c r="G16" s="5"/>
      <c r="H16" s="5"/>
      <c r="I16" s="5"/>
    </row>
    <row r="17" spans="1:9" x14ac:dyDescent="0.25">
      <c r="A17" s="5"/>
      <c r="B17" s="6"/>
      <c r="C17" s="5"/>
      <c r="D17" s="5"/>
      <c r="E17" s="5"/>
      <c r="F17" s="5"/>
      <c r="G17" s="5"/>
      <c r="H17" s="5"/>
      <c r="I17" s="5"/>
    </row>
    <row r="18" spans="1:9" x14ac:dyDescent="0.25">
      <c r="A18" s="5"/>
      <c r="B18" s="6"/>
      <c r="C18" s="5"/>
      <c r="D18" s="5"/>
      <c r="E18" s="5"/>
      <c r="F18" s="5"/>
      <c r="G18" s="5"/>
      <c r="H18" s="5"/>
      <c r="I18" s="5"/>
    </row>
    <row r="19" spans="1:9" ht="18.75" x14ac:dyDescent="0.3">
      <c r="A19" s="1"/>
      <c r="B19" s="2"/>
      <c r="C19" s="1"/>
      <c r="D19" s="1"/>
      <c r="E19" s="1"/>
      <c r="F19" s="1"/>
      <c r="G19" s="1"/>
      <c r="H19" s="1"/>
      <c r="I19" s="4"/>
    </row>
    <row r="20" spans="1:9" x14ac:dyDescent="0.25">
      <c r="A20" s="5"/>
      <c r="B20" s="6"/>
      <c r="C20" s="5"/>
      <c r="D20" s="5"/>
      <c r="E20" s="5"/>
      <c r="F20" s="5"/>
      <c r="G20" s="5"/>
      <c r="H20" s="5"/>
      <c r="I20" s="5"/>
    </row>
    <row r="21" spans="1:9" x14ac:dyDescent="0.25">
      <c r="A21" s="5"/>
      <c r="B21" s="6"/>
      <c r="C21" s="5"/>
      <c r="D21" s="5"/>
      <c r="E21" s="5"/>
      <c r="F21" s="5"/>
      <c r="G21" s="5"/>
      <c r="H21" s="5"/>
      <c r="I21" s="5"/>
    </row>
    <row r="22" spans="1:9" x14ac:dyDescent="0.25">
      <c r="A22" s="5"/>
      <c r="B22" s="6"/>
      <c r="C22" s="5"/>
      <c r="D22" s="5"/>
      <c r="E22" s="5"/>
      <c r="F22" s="5"/>
      <c r="G22" s="5"/>
      <c r="H22" s="5"/>
      <c r="I22" s="5"/>
    </row>
    <row r="23" spans="1:9" x14ac:dyDescent="0.25">
      <c r="A23" s="5"/>
      <c r="B23" s="6"/>
      <c r="C23" s="5"/>
      <c r="D23" s="5"/>
      <c r="E23" s="5"/>
      <c r="F23" s="5"/>
      <c r="G23" s="5"/>
      <c r="H23" s="5"/>
      <c r="I23" s="5"/>
    </row>
    <row r="24" spans="1:9" x14ac:dyDescent="0.25">
      <c r="A24" s="5"/>
      <c r="B24" s="6"/>
      <c r="C24" s="5"/>
      <c r="D24" s="5"/>
      <c r="E24" s="5"/>
      <c r="F24" s="5"/>
      <c r="G24" s="5"/>
      <c r="H24" s="5"/>
      <c r="I24" s="5"/>
    </row>
    <row r="25" spans="1:9" x14ac:dyDescent="0.25">
      <c r="A25" s="5"/>
      <c r="B25" s="6"/>
      <c r="C25" s="5"/>
      <c r="D25" s="5"/>
      <c r="E25" s="5"/>
      <c r="F25" s="5"/>
      <c r="G25" s="5"/>
      <c r="H25" s="5"/>
      <c r="I25" s="5"/>
    </row>
    <row r="26" spans="1:9" x14ac:dyDescent="0.25">
      <c r="A26" s="5"/>
      <c r="B26" s="6"/>
      <c r="C26" s="5"/>
      <c r="D26" s="5"/>
      <c r="E26" s="5"/>
      <c r="F26" s="5"/>
      <c r="G26" s="5"/>
      <c r="H26" s="5"/>
      <c r="I26" s="5"/>
    </row>
    <row r="27" spans="1:9" x14ac:dyDescent="0.25">
      <c r="A27" s="5"/>
      <c r="B27" s="6"/>
      <c r="C27" s="5"/>
      <c r="D27" s="5"/>
      <c r="E27" s="5"/>
      <c r="F27" s="5"/>
      <c r="G27" s="5"/>
      <c r="H27" s="5"/>
      <c r="I27" s="5"/>
    </row>
    <row r="28" spans="1:9" x14ac:dyDescent="0.25">
      <c r="A28" s="5"/>
      <c r="B28" s="6"/>
      <c r="C28" s="5"/>
      <c r="D28" s="5"/>
      <c r="E28" s="5"/>
      <c r="F28" s="5"/>
      <c r="G28" s="5"/>
      <c r="H28" s="5"/>
      <c r="I28" s="5"/>
    </row>
    <row r="29" spans="1:9" x14ac:dyDescent="0.25">
      <c r="A29" s="5"/>
      <c r="B29" s="6"/>
      <c r="C29" s="5"/>
      <c r="D29" s="5"/>
      <c r="E29" s="5"/>
      <c r="F29" s="5"/>
      <c r="G29" s="5"/>
      <c r="H29" s="5"/>
      <c r="I29" s="5"/>
    </row>
    <row r="30" spans="1:9" x14ac:dyDescent="0.25">
      <c r="A30" s="5"/>
      <c r="B30" s="6"/>
      <c r="C30" s="5"/>
      <c r="D30" s="5"/>
      <c r="E30" s="5"/>
      <c r="F30" s="5"/>
      <c r="G30" s="5"/>
      <c r="H30" s="5"/>
      <c r="I30" s="5"/>
    </row>
    <row r="31" spans="1:9" x14ac:dyDescent="0.25">
      <c r="A31" s="5"/>
      <c r="B31" s="6"/>
      <c r="C31" s="5"/>
      <c r="D31" s="5"/>
      <c r="E31" s="5"/>
      <c r="F31" s="5"/>
      <c r="G31" s="5"/>
      <c r="H31" s="5"/>
      <c r="I31" s="5"/>
    </row>
    <row r="32" spans="1:9" x14ac:dyDescent="0.25">
      <c r="A32" s="5"/>
      <c r="B32" s="6"/>
      <c r="C32" s="5"/>
      <c r="D32" s="5"/>
      <c r="E32" s="5"/>
      <c r="F32" s="5"/>
      <c r="G32" s="5"/>
      <c r="H32" s="5"/>
      <c r="I32" s="5"/>
    </row>
    <row r="33" spans="1:9" x14ac:dyDescent="0.25">
      <c r="A33" s="5"/>
      <c r="B33" s="6"/>
      <c r="C33" s="5"/>
      <c r="D33" s="5"/>
      <c r="E33" s="5"/>
      <c r="F33" s="5"/>
      <c r="G33" s="5"/>
      <c r="H33" s="5"/>
      <c r="I33" s="5"/>
    </row>
    <row r="34" spans="1:9" x14ac:dyDescent="0.25">
      <c r="A34" s="5"/>
      <c r="B34" s="6"/>
      <c r="C34" s="5"/>
      <c r="D34" s="5"/>
      <c r="E34" s="5"/>
      <c r="F34" s="5"/>
      <c r="G34" s="5"/>
      <c r="H34" s="5"/>
      <c r="I34" s="5"/>
    </row>
    <row r="35" spans="1:9" x14ac:dyDescent="0.25">
      <c r="A35" s="5"/>
      <c r="B35" s="6"/>
      <c r="C35" s="5"/>
      <c r="D35" s="5"/>
      <c r="E35" s="5"/>
      <c r="F35" s="5"/>
      <c r="G35" s="5"/>
      <c r="H35" s="5"/>
      <c r="I35" s="5"/>
    </row>
    <row r="36" spans="1:9" x14ac:dyDescent="0.25">
      <c r="A36" s="5"/>
      <c r="B36" s="6"/>
      <c r="C36" s="5"/>
      <c r="D36" s="5"/>
      <c r="E36" s="5"/>
      <c r="F36" s="5"/>
      <c r="G36" s="5"/>
      <c r="H36" s="5"/>
      <c r="I36" s="5"/>
    </row>
    <row r="37" spans="1:9" x14ac:dyDescent="0.25">
      <c r="A37" s="5"/>
      <c r="B37" s="6"/>
      <c r="C37" s="5"/>
      <c r="D37" s="5"/>
      <c r="E37" s="5"/>
      <c r="F37" s="5"/>
      <c r="G37" s="5"/>
      <c r="H37" s="5"/>
      <c r="I37" s="5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00F1F6-5B08-4876-9C6D-41C9F54A1E9A}">
  <sheetPr codeName="Sheet1"/>
  <dimension ref="A1:G41"/>
  <sheetViews>
    <sheetView tabSelected="1" zoomScale="110" zoomScaleNormal="110" workbookViewId="0">
      <selection activeCell="I11" sqref="I11"/>
    </sheetView>
  </sheetViews>
  <sheetFormatPr defaultRowHeight="15" x14ac:dyDescent="0.25"/>
  <cols>
    <col min="1" max="1" width="14.85546875" customWidth="1"/>
    <col min="2" max="2" width="22.42578125" customWidth="1"/>
    <col min="3" max="3" width="17" customWidth="1"/>
    <col min="4" max="4" width="16.85546875" customWidth="1"/>
    <col min="5" max="5" width="15.28515625" customWidth="1"/>
    <col min="7" max="7" width="13.5703125" bestFit="1" customWidth="1"/>
  </cols>
  <sheetData>
    <row r="1" spans="1:7" ht="28.5" x14ac:dyDescent="0.45">
      <c r="A1" s="40" t="s">
        <v>61</v>
      </c>
      <c r="B1" s="41"/>
      <c r="C1" s="41"/>
      <c r="D1" s="41"/>
      <c r="E1" s="42"/>
    </row>
    <row r="2" spans="1:7" ht="18.75" x14ac:dyDescent="0.3">
      <c r="A2" s="43" t="s">
        <v>62</v>
      </c>
      <c r="B2" s="44"/>
      <c r="C2" s="44"/>
      <c r="D2" s="44"/>
      <c r="E2" s="45"/>
    </row>
    <row r="3" spans="1:7" ht="18.75" x14ac:dyDescent="0.3">
      <c r="A3" s="46" t="s">
        <v>63</v>
      </c>
      <c r="B3" s="47"/>
      <c r="C3" s="47"/>
      <c r="D3" s="47"/>
      <c r="E3" s="48"/>
    </row>
    <row r="4" spans="1:7" ht="18.75" x14ac:dyDescent="0.3">
      <c r="A4" s="49" t="s">
        <v>64</v>
      </c>
      <c r="B4" s="50"/>
      <c r="C4" s="50"/>
      <c r="D4" s="50"/>
      <c r="E4" s="51"/>
    </row>
    <row r="5" spans="1:7" ht="18.75" x14ac:dyDescent="0.3">
      <c r="A5" s="11"/>
      <c r="B5" s="12"/>
      <c r="C5" s="12"/>
      <c r="D5" s="12"/>
      <c r="E5" s="13"/>
    </row>
    <row r="6" spans="1:7" ht="18.75" x14ac:dyDescent="0.3">
      <c r="A6" s="14" t="s">
        <v>2</v>
      </c>
      <c r="B6" s="15" t="s">
        <v>75</v>
      </c>
      <c r="C6" s="3" t="s">
        <v>65</v>
      </c>
      <c r="D6" s="16" t="s">
        <v>58</v>
      </c>
      <c r="E6" s="17"/>
      <c r="G6" s="18" t="str">
        <f>B6</f>
        <v>E500061</v>
      </c>
    </row>
    <row r="7" spans="1:7" ht="18.75" x14ac:dyDescent="0.3">
      <c r="A7" s="14" t="s">
        <v>66</v>
      </c>
      <c r="B7" s="15" t="s">
        <v>76</v>
      </c>
      <c r="C7" s="3"/>
      <c r="D7" s="3"/>
      <c r="E7" s="17"/>
      <c r="G7" s="19" t="str">
        <f>D6</f>
        <v>14/08/2024</v>
      </c>
    </row>
    <row r="8" spans="1:7" ht="18.75" x14ac:dyDescent="0.3">
      <c r="A8" s="14" t="s">
        <v>68</v>
      </c>
      <c r="B8" s="15">
        <v>986325418</v>
      </c>
      <c r="C8" s="3"/>
      <c r="D8" s="3"/>
      <c r="E8" s="17"/>
      <c r="G8" s="18" t="str">
        <f>B7</f>
        <v>akhil</v>
      </c>
    </row>
    <row r="9" spans="1:7" ht="18.75" x14ac:dyDescent="0.3">
      <c r="A9" s="14" t="s">
        <v>69</v>
      </c>
      <c r="B9" s="52" t="s">
        <v>60</v>
      </c>
      <c r="C9" s="52"/>
      <c r="D9" s="52"/>
      <c r="E9" s="53"/>
      <c r="G9" s="18">
        <f>B8</f>
        <v>986325418</v>
      </c>
    </row>
    <row r="10" spans="1:7" ht="18.75" x14ac:dyDescent="0.3">
      <c r="A10" s="11"/>
      <c r="B10" s="20"/>
      <c r="C10" s="20"/>
      <c r="D10" s="20"/>
      <c r="E10" s="21"/>
      <c r="G10" s="18" t="str">
        <f>B9</f>
        <v>panjab</v>
      </c>
    </row>
    <row r="11" spans="1:7" ht="18.75" x14ac:dyDescent="0.3">
      <c r="A11" s="22" t="s">
        <v>70</v>
      </c>
      <c r="B11" s="23" t="s">
        <v>0</v>
      </c>
      <c r="C11" s="23" t="s">
        <v>1</v>
      </c>
      <c r="D11" s="23" t="s">
        <v>71</v>
      </c>
      <c r="E11" s="24" t="s">
        <v>72</v>
      </c>
      <c r="G11" s="18">
        <f>E31</f>
        <v>209300</v>
      </c>
    </row>
    <row r="12" spans="1:7" ht="18.75" x14ac:dyDescent="0.3">
      <c r="A12" s="25">
        <v>1</v>
      </c>
      <c r="B12" s="26" t="s">
        <v>8</v>
      </c>
      <c r="C12" s="26">
        <f>IFERROR(VLOOKUP(B12,Data!$A$3:$B$23,2,0),"")</f>
        <v>15000</v>
      </c>
      <c r="D12" s="26">
        <v>10</v>
      </c>
      <c r="E12" s="27">
        <f>IFERROR(C12*D12,"")</f>
        <v>150000</v>
      </c>
      <c r="G12" s="18">
        <f>E32</f>
        <v>20930</v>
      </c>
    </row>
    <row r="13" spans="1:7" ht="18.75" x14ac:dyDescent="0.3">
      <c r="A13" s="25">
        <v>2</v>
      </c>
      <c r="B13" s="26" t="s">
        <v>11</v>
      </c>
      <c r="C13" s="26">
        <f>IFERROR(VLOOKUP(B13,Data!$A$3:$B$23,2,0),"")</f>
        <v>150</v>
      </c>
      <c r="D13" s="26">
        <v>12</v>
      </c>
      <c r="E13" s="27">
        <f t="shared" ref="E13:E30" si="0">IFERROR(C13*D13,"")</f>
        <v>1800</v>
      </c>
      <c r="G13" s="18">
        <f>E33</f>
        <v>20930</v>
      </c>
    </row>
    <row r="14" spans="1:7" ht="18.75" x14ac:dyDescent="0.3">
      <c r="A14" s="25">
        <v>3</v>
      </c>
      <c r="B14" s="26" t="s">
        <v>10</v>
      </c>
      <c r="C14" s="26">
        <f>IFERROR(VLOOKUP(B14,Data!$A$3:$B$23,2,0),"")</f>
        <v>2500</v>
      </c>
      <c r="D14" s="26">
        <v>15</v>
      </c>
      <c r="E14" s="27">
        <f t="shared" si="0"/>
        <v>37500</v>
      </c>
      <c r="G14" s="18">
        <f>E34</f>
        <v>251160</v>
      </c>
    </row>
    <row r="15" spans="1:7" ht="18.75" x14ac:dyDescent="0.3">
      <c r="A15" s="25">
        <v>4</v>
      </c>
      <c r="B15" s="26" t="s">
        <v>11</v>
      </c>
      <c r="C15" s="26">
        <f>IFERROR(VLOOKUP(B15,Data!$A$3:$B$23,2,0),"")</f>
        <v>150</v>
      </c>
      <c r="D15" s="26">
        <v>20</v>
      </c>
      <c r="E15" s="27">
        <f t="shared" si="0"/>
        <v>3000</v>
      </c>
    </row>
    <row r="16" spans="1:7" ht="18.75" x14ac:dyDescent="0.3">
      <c r="A16" s="25">
        <v>5</v>
      </c>
      <c r="B16" s="26" t="s">
        <v>12</v>
      </c>
      <c r="C16" s="26">
        <f>IFERROR(VLOOKUP(B16,Data!$A$3:$B$23,2,0),"")</f>
        <v>200</v>
      </c>
      <c r="D16" s="26">
        <v>10</v>
      </c>
      <c r="E16" s="27">
        <f t="shared" si="0"/>
        <v>2000</v>
      </c>
    </row>
    <row r="17" spans="1:5" ht="18.75" x14ac:dyDescent="0.3">
      <c r="A17" s="25">
        <v>6</v>
      </c>
      <c r="B17" s="26" t="s">
        <v>13</v>
      </c>
      <c r="C17" s="26">
        <f>IFERROR(VLOOKUP(B17,Data!$A$3:$B$23,2,0),"")</f>
        <v>1000</v>
      </c>
      <c r="D17" s="26">
        <v>15</v>
      </c>
      <c r="E17" s="27">
        <f t="shared" si="0"/>
        <v>15000</v>
      </c>
    </row>
    <row r="18" spans="1:5" ht="18.75" x14ac:dyDescent="0.3">
      <c r="A18" s="25"/>
      <c r="B18" s="26"/>
      <c r="C18" s="26" t="str">
        <f>IFERROR(VLOOKUP(B18,Data!$A$3:$B$23,2,0),"")</f>
        <v/>
      </c>
      <c r="D18" s="26"/>
      <c r="E18" s="27" t="str">
        <f t="shared" si="0"/>
        <v/>
      </c>
    </row>
    <row r="19" spans="1:5" ht="18.75" x14ac:dyDescent="0.3">
      <c r="A19" s="25"/>
      <c r="B19" s="26"/>
      <c r="C19" s="26" t="str">
        <f>IFERROR(VLOOKUP(B19,Data!$A$3:$B$23,2,0),"")</f>
        <v/>
      </c>
      <c r="D19" s="26"/>
      <c r="E19" s="27" t="str">
        <f t="shared" si="0"/>
        <v/>
      </c>
    </row>
    <row r="20" spans="1:5" ht="18.75" x14ac:dyDescent="0.3">
      <c r="A20" s="25"/>
      <c r="B20" s="26"/>
      <c r="C20" s="26" t="str">
        <f>IFERROR(VLOOKUP(B20,Data!$A$3:$B$23,2,0),"")</f>
        <v/>
      </c>
      <c r="D20" s="26"/>
      <c r="E20" s="27" t="str">
        <f t="shared" si="0"/>
        <v/>
      </c>
    </row>
    <row r="21" spans="1:5" ht="18.75" x14ac:dyDescent="0.3">
      <c r="A21" s="25"/>
      <c r="B21" s="26"/>
      <c r="C21" s="26" t="str">
        <f>IFERROR(VLOOKUP(B21,Data!$A$3:$B$23,2,0),"")</f>
        <v/>
      </c>
      <c r="D21" s="26"/>
      <c r="E21" s="27" t="str">
        <f t="shared" si="0"/>
        <v/>
      </c>
    </row>
    <row r="22" spans="1:5" ht="18.75" x14ac:dyDescent="0.3">
      <c r="A22" s="25"/>
      <c r="B22" s="26"/>
      <c r="C22" s="26" t="str">
        <f>IFERROR(VLOOKUP(B22,Data!$A$3:$B$23,2,0),"")</f>
        <v/>
      </c>
      <c r="D22" s="26"/>
      <c r="E22" s="27" t="str">
        <f t="shared" si="0"/>
        <v/>
      </c>
    </row>
    <row r="23" spans="1:5" ht="18.75" x14ac:dyDescent="0.3">
      <c r="A23" s="25"/>
      <c r="B23" s="26"/>
      <c r="C23" s="26" t="str">
        <f>IFERROR(VLOOKUP(B23,Data!$A$3:$B$23,2,0),"")</f>
        <v/>
      </c>
      <c r="D23" s="26"/>
      <c r="E23" s="27" t="str">
        <f t="shared" si="0"/>
        <v/>
      </c>
    </row>
    <row r="24" spans="1:5" ht="18.75" x14ac:dyDescent="0.3">
      <c r="A24" s="25"/>
      <c r="B24" s="26"/>
      <c r="C24" s="26" t="str">
        <f>IFERROR(VLOOKUP(B24,Data!$A$3:$B$23,2,0),"")</f>
        <v/>
      </c>
      <c r="D24" s="26"/>
      <c r="E24" s="27" t="str">
        <f t="shared" si="0"/>
        <v/>
      </c>
    </row>
    <row r="25" spans="1:5" ht="18.75" x14ac:dyDescent="0.3">
      <c r="A25" s="25"/>
      <c r="B25" s="26"/>
      <c r="C25" s="26" t="str">
        <f>IFERROR(VLOOKUP(B25,Data!$A$3:$B$23,2,0),"")</f>
        <v/>
      </c>
      <c r="D25" s="26"/>
      <c r="E25" s="27" t="str">
        <f t="shared" si="0"/>
        <v/>
      </c>
    </row>
    <row r="26" spans="1:5" ht="18.75" x14ac:dyDescent="0.3">
      <c r="A26" s="25"/>
      <c r="B26" s="26"/>
      <c r="C26" s="26" t="str">
        <f>IFERROR(VLOOKUP(B26,Data!$A$3:$B$23,2,0),"")</f>
        <v/>
      </c>
      <c r="D26" s="26"/>
      <c r="E26" s="27" t="str">
        <f t="shared" si="0"/>
        <v/>
      </c>
    </row>
    <row r="27" spans="1:5" ht="18.75" x14ac:dyDescent="0.3">
      <c r="A27" s="25"/>
      <c r="B27" s="26"/>
      <c r="C27" s="26" t="str">
        <f>IFERROR(VLOOKUP(B27,Data!$A$3:$B$23,2,0),"")</f>
        <v/>
      </c>
      <c r="D27" s="26"/>
      <c r="E27" s="27" t="str">
        <f t="shared" si="0"/>
        <v/>
      </c>
    </row>
    <row r="28" spans="1:5" ht="18.75" x14ac:dyDescent="0.3">
      <c r="A28" s="25"/>
      <c r="B28" s="26"/>
      <c r="C28" s="26" t="str">
        <f>IFERROR(VLOOKUP(B28,Data!$A$3:$B$23,2,0),"")</f>
        <v/>
      </c>
      <c r="D28" s="26"/>
      <c r="E28" s="27" t="str">
        <f t="shared" si="0"/>
        <v/>
      </c>
    </row>
    <row r="29" spans="1:5" ht="18.75" x14ac:dyDescent="0.3">
      <c r="A29" s="25"/>
      <c r="B29" s="26"/>
      <c r="C29" s="26" t="str">
        <f>IFERROR(VLOOKUP(B29,Data!$A$3:$B$23,2,0),"")</f>
        <v/>
      </c>
      <c r="D29" s="26"/>
      <c r="E29" s="27" t="str">
        <f t="shared" si="0"/>
        <v/>
      </c>
    </row>
    <row r="30" spans="1:5" ht="18.75" x14ac:dyDescent="0.3">
      <c r="A30" s="28"/>
      <c r="B30" s="29"/>
      <c r="C30" s="26" t="str">
        <f>IFERROR(VLOOKUP(B30,Data!$A$3:$B$23,2,0),"")</f>
        <v/>
      </c>
      <c r="D30" s="29"/>
      <c r="E30" s="27" t="str">
        <f t="shared" si="0"/>
        <v/>
      </c>
    </row>
    <row r="31" spans="1:5" ht="18.75" x14ac:dyDescent="0.3">
      <c r="A31" s="11"/>
      <c r="B31" s="12"/>
      <c r="C31" s="39" t="s">
        <v>3</v>
      </c>
      <c r="D31" s="39"/>
      <c r="E31" s="30">
        <f>SUM(E12:E30)</f>
        <v>209300</v>
      </c>
    </row>
    <row r="32" spans="1:5" ht="18.75" x14ac:dyDescent="0.3">
      <c r="A32" s="11"/>
      <c r="B32" s="12"/>
      <c r="C32" s="39" t="s">
        <v>4</v>
      </c>
      <c r="D32" s="39"/>
      <c r="E32" s="27">
        <f>E31*10%</f>
        <v>20930</v>
      </c>
    </row>
    <row r="33" spans="1:5" ht="18.75" x14ac:dyDescent="0.3">
      <c r="A33" s="11"/>
      <c r="B33" s="12"/>
      <c r="C33" s="39" t="s">
        <v>5</v>
      </c>
      <c r="D33" s="39"/>
      <c r="E33" s="27">
        <f>E31*10%</f>
        <v>20930</v>
      </c>
    </row>
    <row r="34" spans="1:5" ht="18.75" x14ac:dyDescent="0.3">
      <c r="A34" s="11"/>
      <c r="B34" s="12"/>
      <c r="C34" s="39" t="s">
        <v>6</v>
      </c>
      <c r="D34" s="39"/>
      <c r="E34" s="31">
        <f>SUM(E31:E33)</f>
        <v>251160</v>
      </c>
    </row>
    <row r="35" spans="1:5" x14ac:dyDescent="0.25">
      <c r="A35" s="32"/>
      <c r="E35" s="33"/>
    </row>
    <row r="36" spans="1:5" x14ac:dyDescent="0.25">
      <c r="A36" s="32"/>
      <c r="E36" s="33"/>
    </row>
    <row r="37" spans="1:5" x14ac:dyDescent="0.25">
      <c r="A37" s="32"/>
      <c r="E37" s="33"/>
    </row>
    <row r="38" spans="1:5" x14ac:dyDescent="0.25">
      <c r="A38" s="34"/>
      <c r="C38" s="54" t="s">
        <v>73</v>
      </c>
      <c r="D38" s="54"/>
      <c r="E38" s="55"/>
    </row>
    <row r="39" spans="1:5" x14ac:dyDescent="0.25">
      <c r="A39" s="34"/>
      <c r="C39" s="54" t="s">
        <v>74</v>
      </c>
      <c r="D39" s="54"/>
      <c r="E39" s="55"/>
    </row>
    <row r="40" spans="1:5" x14ac:dyDescent="0.25">
      <c r="A40" s="34"/>
      <c r="E40" s="35"/>
    </row>
    <row r="41" spans="1:5" ht="15.75" thickBot="1" x14ac:dyDescent="0.3">
      <c r="A41" s="36"/>
      <c r="B41" s="37"/>
      <c r="C41" s="37"/>
      <c r="D41" s="37"/>
      <c r="E41" s="38"/>
    </row>
  </sheetData>
  <mergeCells count="11">
    <mergeCell ref="C32:D32"/>
    <mergeCell ref="C33:D33"/>
    <mergeCell ref="C34:D34"/>
    <mergeCell ref="C38:E38"/>
    <mergeCell ref="C39:E39"/>
    <mergeCell ref="C31:D31"/>
    <mergeCell ref="A1:E1"/>
    <mergeCell ref="A2:E2"/>
    <mergeCell ref="A3:E3"/>
    <mergeCell ref="A4:E4"/>
    <mergeCell ref="B9:E9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pt">
                <anchor moveWithCells="1" sizeWithCells="1">
                  <from>
                    <xdr:col>6</xdr:col>
                    <xdr:colOff>142875</xdr:colOff>
                    <xdr:row>18</xdr:row>
                    <xdr:rowOff>200025</xdr:rowOff>
                  </from>
                  <to>
                    <xdr:col>7</xdr:col>
                    <xdr:colOff>228600</xdr:colOff>
                    <xdr:row>20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6C8F6E4-B81F-471C-B22C-D8B0A1CCACB6}">
          <x14:formula1>
            <xm:f>Data!$A$4:$A$23</xm:f>
          </x14:formula1>
          <xm:sqref>B12:B30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Table</vt:lpstr>
      <vt:lpstr>Invoice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DELL</cp:lastModifiedBy>
  <cp:lastPrinted>2025-05-30T06:13:31Z</cp:lastPrinted>
  <dcterms:created xsi:type="dcterms:W3CDTF">2025-05-29T08:35:46Z</dcterms:created>
  <dcterms:modified xsi:type="dcterms:W3CDTF">2025-08-18T06:05:48Z</dcterms:modified>
</cp:coreProperties>
</file>